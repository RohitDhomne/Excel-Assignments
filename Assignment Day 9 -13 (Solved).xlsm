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F:\Data Analytics\Assignments\"/>
    </mc:Choice>
  </mc:AlternateContent>
  <xr:revisionPtr revIDLastSave="0" documentId="13_ncr:1_{EB2003EE-DFA1-456C-A19E-08E3166EA931}" xr6:coauthVersionLast="47" xr6:coauthVersionMax="47" xr10:uidLastSave="{00000000-0000-0000-0000-000000000000}"/>
  <bookViews>
    <workbookView xWindow="-120" yWindow="-120" windowWidth="20730" windowHeight="11160" activeTab="3" xr2:uid="{00000000-000D-0000-FFFF-FFFF00000000}"/>
  </bookViews>
  <sheets>
    <sheet name="1" sheetId="1" r:id="rId1"/>
    <sheet name="Formatting" sheetId="5" r:id="rId2"/>
    <sheet name="2" sheetId="2" r:id="rId3"/>
    <sheet name="Employee Data sheet" sheetId="6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7" i="6" l="1"/>
  <c r="C6" i="6"/>
  <c r="C5" i="6"/>
  <c r="C4" i="6"/>
  <c r="C3" i="6"/>
  <c r="C2" i="6"/>
  <c r="J41" i="5"/>
  <c r="H41" i="5"/>
  <c r="J40" i="5"/>
  <c r="H40" i="5"/>
  <c r="J39" i="5"/>
  <c r="H39" i="5"/>
  <c r="J38" i="5"/>
  <c r="H38" i="5"/>
  <c r="J37" i="5"/>
  <c r="H37" i="5"/>
  <c r="J36" i="5"/>
  <c r="H36" i="5"/>
  <c r="J35" i="5"/>
  <c r="H35" i="5"/>
  <c r="J34" i="5"/>
  <c r="H34" i="5"/>
  <c r="J33" i="5"/>
  <c r="H33" i="5"/>
  <c r="J32" i="5"/>
  <c r="H32" i="5"/>
  <c r="J31" i="5"/>
  <c r="H31" i="5"/>
  <c r="J30" i="5"/>
  <c r="H30" i="5"/>
  <c r="J29" i="5"/>
  <c r="H29" i="5"/>
  <c r="J28" i="5"/>
  <c r="H28" i="5"/>
  <c r="J27" i="5"/>
  <c r="H27" i="5"/>
  <c r="J26" i="5"/>
  <c r="H26" i="5"/>
  <c r="J25" i="5"/>
  <c r="H25" i="5"/>
  <c r="J24" i="5"/>
  <c r="H24" i="5"/>
  <c r="J23" i="5"/>
  <c r="H23" i="5"/>
  <c r="J22" i="5"/>
  <c r="H22" i="5"/>
  <c r="J21" i="5"/>
  <c r="H21" i="5"/>
  <c r="J20" i="5"/>
  <c r="H20" i="5"/>
  <c r="J19" i="5"/>
  <c r="H19" i="5"/>
  <c r="J18" i="5"/>
  <c r="H18" i="5"/>
  <c r="J17" i="5"/>
  <c r="H17" i="5"/>
  <c r="J16" i="5"/>
  <c r="H16" i="5"/>
  <c r="J15" i="5"/>
  <c r="H15" i="5"/>
  <c r="J14" i="5"/>
  <c r="H14" i="5"/>
  <c r="J13" i="5"/>
  <c r="H13" i="5"/>
  <c r="J12" i="5"/>
  <c r="H12" i="5"/>
  <c r="J11" i="5"/>
  <c r="H11" i="5"/>
  <c r="J10" i="5"/>
  <c r="H10" i="5"/>
  <c r="J9" i="5"/>
  <c r="H9" i="5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J9" i="1"/>
  <c r="H9" i="1"/>
</calcChain>
</file>

<file path=xl/sharedStrings.xml><?xml version="1.0" encoding="utf-8"?>
<sst xmlns="http://schemas.openxmlformats.org/spreadsheetml/2006/main" count="130" uniqueCount="53">
  <si>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</si>
  <si>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</si>
  <si>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</si>
  <si>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</si>
  <si>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</si>
  <si>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</si>
  <si>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</si>
  <si>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</si>
  <si>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</si>
  <si>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</si>
  <si>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</si>
  <si>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</si>
  <si>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</si>
  <si>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</si>
  <si>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</si>
  <si>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</si>
  <si>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</si>
  <si>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</si>
  <si>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</si>
  <si>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</si>
  <si>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</si>
  <si>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Employee Data Sheet</t>
  </si>
  <si>
    <t>Name</t>
  </si>
  <si>
    <t>Employee Id</t>
  </si>
  <si>
    <t>Date Of Joining</t>
  </si>
  <si>
    <t>Email Address</t>
  </si>
  <si>
    <t>Department</t>
  </si>
  <si>
    <t>Likhitha Lokesh</t>
  </si>
  <si>
    <t>Nilesh Chougule</t>
  </si>
  <si>
    <t>llokesh@data.com</t>
  </si>
  <si>
    <t>nchougule@data.com</t>
  </si>
  <si>
    <t>API Developer</t>
  </si>
  <si>
    <t>LL5487</t>
  </si>
  <si>
    <t>Data Analyst</t>
  </si>
  <si>
    <t>NC2566</t>
  </si>
  <si>
    <t>VD2563</t>
  </si>
  <si>
    <t>Vishvanath Devarde</t>
  </si>
  <si>
    <t>vdevarde@data.com</t>
  </si>
  <si>
    <t>SP6969</t>
  </si>
  <si>
    <t>Shubham Patil</t>
  </si>
  <si>
    <t>spati;@data.com</t>
  </si>
  <si>
    <t>Java Developer</t>
  </si>
  <si>
    <t>Web Developer</t>
  </si>
  <si>
    <t>Performance</t>
  </si>
  <si>
    <t>MS2145</t>
  </si>
  <si>
    <t>Mahesh Sagare</t>
  </si>
  <si>
    <t>msagare@data.com</t>
  </si>
  <si>
    <t>A+</t>
  </si>
  <si>
    <t>SA4565</t>
  </si>
  <si>
    <t>Sagar Anuse</t>
  </si>
  <si>
    <t>sanuse@data.com</t>
  </si>
  <si>
    <t>Network Administrator</t>
  </si>
  <si>
    <t>B+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</si>
</sst>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2">
    <xf numFmtId="0" fontId="0" fillId="0" borderId="0" xfId="0"/>
    <xf numFmtId="0" fontId="1" fillId="0" borderId="0" xfId="0" applyFont="1"/>
    <xf numFmtId="0" fontId="0" fillId="0" borderId="1" xfId="0" applyBorder="1"/>
    <xf numFmtId="0" fontId="3" fillId="3" borderId="2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49" fontId="4" fillId="4" borderId="5" xfId="0" applyNumberFormat="1" applyFont="1" applyFill="1" applyBorder="1"/>
    <xf numFmtId="0" fontId="4" fillId="4" borderId="1" xfId="0" applyFont="1" applyFill="1" applyBorder="1"/>
    <xf numFmtId="0" fontId="4" fillId="4" borderId="6" xfId="0" applyFont="1" applyFill="1" applyBorder="1"/>
    <xf numFmtId="49" fontId="0" fillId="4" borderId="7" xfId="0" applyNumberFormat="1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0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1" xfId="0" applyFill="1" applyBorder="1"/>
    <xf numFmtId="0" fontId="6" fillId="0" borderId="1" xfId="1" applyBorder="1"/>
    <xf numFmtId="14" fontId="0" fillId="0" borderId="1" xfId="0" applyNumberFormat="1" applyBorder="1" applyAlignment="1">
      <alignment horizontal="left"/>
    </xf>
    <xf numFmtId="0" fontId="2" fillId="0" borderId="0" xfId="0" applyFont="1"/>
    <xf numFmtId="0" fontId="5" fillId="2" borderId="0" xfId="0" applyFont="1" applyFill="1" applyBorder="1" applyAlignment="1">
      <alignment horizontal="center"/>
    </xf>
    <xf numFmtId="0" fontId="0" fillId="4" borderId="13" xfId="0" applyFill="1" applyBorder="1"/>
    <xf numFmtId="0" fontId="2" fillId="4" borderId="0" xfId="0" applyFont="1" applyFill="1" applyBorder="1"/>
    <xf numFmtId="0" fontId="0" fillId="4" borderId="14" xfId="0" applyFill="1" applyBorder="1"/>
    <xf numFmtId="14" fontId="0" fillId="4" borderId="1" xfId="0" applyNumberFormat="1" applyFill="1" applyBorder="1" applyAlignment="1">
      <alignment horizontal="left"/>
    </xf>
    <xf numFmtId="0" fontId="6" fillId="4" borderId="1" xfId="1" applyFill="1" applyBorder="1"/>
    <xf numFmtId="0" fontId="0" fillId="4" borderId="15" xfId="0" applyFill="1" applyBorder="1"/>
    <xf numFmtId="0" fontId="2" fillId="4" borderId="16" xfId="0" applyFont="1" applyFill="1" applyBorder="1"/>
    <xf numFmtId="0" fontId="0" fillId="4" borderId="10" xfId="0" applyFill="1" applyBorder="1"/>
    <xf numFmtId="0" fontId="2" fillId="4" borderId="11" xfId="0" applyFont="1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1" xfId="0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7</xdr:row>
      <xdr:rowOff>47625</xdr:rowOff>
    </xdr:from>
    <xdr:to>
      <xdr:col>5</xdr:col>
      <xdr:colOff>352425</xdr:colOff>
      <xdr:row>7</xdr:row>
      <xdr:rowOff>152400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1D957331-E2ED-FE24-5A0C-D392B2175E8E}"/>
            </a:ext>
          </a:extLst>
        </xdr:cNvPr>
        <xdr:cNvSpPr/>
      </xdr:nvSpPr>
      <xdr:spPr>
        <a:xfrm>
          <a:off x="3171825" y="1628775"/>
          <a:ext cx="228600" cy="10477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133350</xdr:colOff>
      <xdr:row>9</xdr:row>
      <xdr:rowOff>57150</xdr:rowOff>
    </xdr:from>
    <xdr:to>
      <xdr:col>5</xdr:col>
      <xdr:colOff>361950</xdr:colOff>
      <xdr:row>9</xdr:row>
      <xdr:rowOff>161925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BB78AE23-E7F5-4CE8-B72F-A523943CAD19}"/>
            </a:ext>
          </a:extLst>
        </xdr:cNvPr>
        <xdr:cNvSpPr/>
      </xdr:nvSpPr>
      <xdr:spPr>
        <a:xfrm>
          <a:off x="3181350" y="2038350"/>
          <a:ext cx="228600" cy="10477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133350</xdr:colOff>
      <xdr:row>11</xdr:row>
      <xdr:rowOff>19050</xdr:rowOff>
    </xdr:from>
    <xdr:to>
      <xdr:col>5</xdr:col>
      <xdr:colOff>361950</xdr:colOff>
      <xdr:row>11</xdr:row>
      <xdr:rowOff>123825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1F6D338B-D930-449C-8ECC-DFEAC893ACF1}"/>
            </a:ext>
          </a:extLst>
        </xdr:cNvPr>
        <xdr:cNvSpPr/>
      </xdr:nvSpPr>
      <xdr:spPr>
        <a:xfrm>
          <a:off x="3181350" y="2400300"/>
          <a:ext cx="228600" cy="10477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152400</xdr:colOff>
      <xdr:row>13</xdr:row>
      <xdr:rowOff>57150</xdr:rowOff>
    </xdr:from>
    <xdr:to>
      <xdr:col>5</xdr:col>
      <xdr:colOff>381000</xdr:colOff>
      <xdr:row>13</xdr:row>
      <xdr:rowOff>161925</xdr:rowOff>
    </xdr:to>
    <xdr:sp macro="" textlink="">
      <xdr:nvSpPr>
        <xdr:cNvPr id="7" name="Arrow: Right 6">
          <a:extLst>
            <a:ext uri="{FF2B5EF4-FFF2-40B4-BE49-F238E27FC236}">
              <a16:creationId xmlns:a16="http://schemas.microsoft.com/office/drawing/2014/main" id="{E0C179CE-A400-446C-999E-B21F6879BDE1}"/>
            </a:ext>
          </a:extLst>
        </xdr:cNvPr>
        <xdr:cNvSpPr/>
      </xdr:nvSpPr>
      <xdr:spPr>
        <a:xfrm>
          <a:off x="3200400" y="2838450"/>
          <a:ext cx="228600" cy="10477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133350</xdr:colOff>
      <xdr:row>15</xdr:row>
      <xdr:rowOff>57150</xdr:rowOff>
    </xdr:from>
    <xdr:to>
      <xdr:col>5</xdr:col>
      <xdr:colOff>361950</xdr:colOff>
      <xdr:row>15</xdr:row>
      <xdr:rowOff>161925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963264D2-1DCF-49E0-B8D1-30B2D6D4CFFC}"/>
            </a:ext>
          </a:extLst>
        </xdr:cNvPr>
        <xdr:cNvSpPr/>
      </xdr:nvSpPr>
      <xdr:spPr>
        <a:xfrm>
          <a:off x="3181350" y="3238500"/>
          <a:ext cx="228600" cy="10477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17</xdr:row>
          <xdr:rowOff>9525</xdr:rowOff>
        </xdr:from>
        <xdr:to>
          <xdr:col>8</xdr:col>
          <xdr:colOff>1152525</xdr:colOff>
          <xdr:row>18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133350</xdr:colOff>
      <xdr:row>17</xdr:row>
      <xdr:rowOff>59055</xdr:rowOff>
    </xdr:from>
    <xdr:to>
      <xdr:col>5</xdr:col>
      <xdr:colOff>390525</xdr:colOff>
      <xdr:row>17</xdr:row>
      <xdr:rowOff>161924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95583F2D-542B-B36E-21B7-C24250566991}"/>
            </a:ext>
          </a:extLst>
        </xdr:cNvPr>
        <xdr:cNvSpPr/>
      </xdr:nvSpPr>
      <xdr:spPr>
        <a:xfrm flipV="1">
          <a:off x="3181350" y="3545205"/>
          <a:ext cx="257175" cy="102869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vdevarde@data.com" TargetMode="External"/><Relationship Id="rId2" Type="http://schemas.openxmlformats.org/officeDocument/2006/relationships/hyperlink" Target="mailto:nchougule@data.com" TargetMode="External"/><Relationship Id="rId1" Type="http://schemas.openxmlformats.org/officeDocument/2006/relationships/hyperlink" Target="mailto:llokesh@data.com" TargetMode="External"/><Relationship Id="rId5" Type="http://schemas.openxmlformats.org/officeDocument/2006/relationships/hyperlink" Target="mailto:sanuse@data.com" TargetMode="External"/><Relationship Id="rId4" Type="http://schemas.openxmlformats.org/officeDocument/2006/relationships/hyperlink" Target="mailto:msagare@dat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J41"/>
  <sheetViews>
    <sheetView workbookViewId="0">
      <selection activeCell="E6" sqref="E6"/>
    </sheetView>
  </sheetViews>
  <sheetFormatPr defaultRowHeight="15" x14ac:dyDescent="0.25"/>
  <cols>
    <col min="3" max="3" width="20.28515625" customWidth="1"/>
    <col min="4" max="4" width="23.28515625" customWidth="1"/>
    <col min="5" max="5" width="30.85546875" customWidth="1"/>
    <col min="6" max="6" width="14.28515625" customWidth="1"/>
    <col min="7" max="7" width="16.85546875" customWidth="1"/>
    <col min="8" max="8" width="18" bestFit="1" customWidth="1"/>
    <col min="9" max="9" width="20.28515625" bestFit="1" customWidth="1"/>
  </cols>
  <sheetData>
    <row r="2" spans="3:10" x14ac:dyDescent="0.25">
      <c r="C2" s="1" t="s">
        <v>0</v>
      </c>
      <c r="I2" s="1" t="s">
        <v>19</v>
      </c>
    </row>
    <row r="3" spans="3:10" x14ac:dyDescent="0.25">
      <c r="C3" s="1" t="s">
        <v>1</v>
      </c>
    </row>
    <row r="4" spans="3:10" x14ac:dyDescent="0.25">
      <c r="C4" s="1" t="s">
        <v>16</v>
      </c>
      <c r="G4" s="2"/>
    </row>
    <row r="5" spans="3:10" x14ac:dyDescent="0.25">
      <c r="C5" s="1" t="s">
        <v>17</v>
      </c>
    </row>
    <row r="6" spans="3:10" x14ac:dyDescent="0.25">
      <c r="C6" s="1" t="s">
        <v>18</v>
      </c>
    </row>
    <row r="7" spans="3:10" ht="15.75" thickBot="1" x14ac:dyDescent="0.3"/>
    <row r="8" spans="3:10" ht="18.75" x14ac:dyDescent="0.3">
      <c r="C8" s="3" t="s">
        <v>3</v>
      </c>
      <c r="D8" s="4" t="s">
        <v>4</v>
      </c>
      <c r="E8" s="4" t="s">
        <v>11</v>
      </c>
      <c r="F8" s="4" t="s">
        <v>12</v>
      </c>
      <c r="G8" s="4" t="s">
        <v>13</v>
      </c>
      <c r="H8" s="4" t="s">
        <v>14</v>
      </c>
      <c r="I8" s="4" t="s">
        <v>15</v>
      </c>
      <c r="J8" s="5" t="s">
        <v>10</v>
      </c>
    </row>
    <row r="9" spans="3:10" ht="15.75" x14ac:dyDescent="0.25">
      <c r="C9" s="6">
        <v>20847</v>
      </c>
      <c r="D9" s="7" t="s">
        <v>5</v>
      </c>
      <c r="E9" s="7">
        <v>4</v>
      </c>
      <c r="F9" s="7">
        <v>2.84</v>
      </c>
      <c r="G9" s="7">
        <v>0.93</v>
      </c>
      <c r="H9" s="7">
        <f>(E9*F9)+G9</f>
        <v>12.29</v>
      </c>
      <c r="I9" s="7">
        <v>0.54</v>
      </c>
      <c r="J9" s="8">
        <f>I9*E9-G9</f>
        <v>1.23</v>
      </c>
    </row>
    <row r="10" spans="3:10" ht="15.75" x14ac:dyDescent="0.25">
      <c r="C10" s="6">
        <v>20228</v>
      </c>
      <c r="D10" s="7" t="s">
        <v>6</v>
      </c>
      <c r="E10" s="7">
        <v>12</v>
      </c>
      <c r="F10" s="7">
        <v>500.98</v>
      </c>
      <c r="G10" s="7">
        <v>26</v>
      </c>
      <c r="H10" s="7">
        <f t="shared" ref="H10:H41" si="0">(E10*F10)+G10</f>
        <v>6037.76</v>
      </c>
      <c r="I10" s="7">
        <v>0.6</v>
      </c>
      <c r="J10" s="8">
        <f t="shared" ref="J10:J41" si="1">I10*E10-G10</f>
        <v>-18.8</v>
      </c>
    </row>
    <row r="11" spans="3:10" ht="15.75" x14ac:dyDescent="0.25">
      <c r="C11" s="6">
        <v>21776</v>
      </c>
      <c r="D11" s="7" t="s">
        <v>7</v>
      </c>
      <c r="E11" s="7">
        <v>22</v>
      </c>
      <c r="F11" s="7">
        <v>9.48</v>
      </c>
      <c r="G11" s="7">
        <v>7.29</v>
      </c>
      <c r="H11" s="7">
        <f t="shared" si="0"/>
        <v>215.85</v>
      </c>
      <c r="I11" s="7">
        <v>0.45</v>
      </c>
      <c r="J11" s="8">
        <f t="shared" si="1"/>
        <v>2.6100000000000003</v>
      </c>
    </row>
    <row r="12" spans="3:10" ht="15.75" x14ac:dyDescent="0.25">
      <c r="C12" s="6">
        <v>24844</v>
      </c>
      <c r="D12" s="7" t="s">
        <v>8</v>
      </c>
      <c r="E12" s="7">
        <v>16</v>
      </c>
      <c r="F12" s="7">
        <v>78.69</v>
      </c>
      <c r="G12" s="7">
        <v>19.989999999999998</v>
      </c>
      <c r="H12" s="7">
        <f t="shared" si="0"/>
        <v>1279.03</v>
      </c>
      <c r="I12" s="7">
        <v>0.43</v>
      </c>
      <c r="J12" s="8">
        <f t="shared" si="1"/>
        <v>-13.11</v>
      </c>
    </row>
    <row r="13" spans="3:10" ht="15.75" x14ac:dyDescent="0.25">
      <c r="C13" s="6">
        <v>24846</v>
      </c>
      <c r="D13" s="7" t="s">
        <v>8</v>
      </c>
      <c r="E13" s="7">
        <v>7</v>
      </c>
      <c r="F13" s="7">
        <v>3.28</v>
      </c>
      <c r="G13" s="7">
        <v>2.31</v>
      </c>
      <c r="H13" s="7">
        <f t="shared" si="0"/>
        <v>25.269999999999996</v>
      </c>
      <c r="I13" s="7">
        <v>0.56000000000000005</v>
      </c>
      <c r="J13" s="8">
        <f t="shared" si="1"/>
        <v>1.6100000000000003</v>
      </c>
    </row>
    <row r="14" spans="3:10" ht="15.75" x14ac:dyDescent="0.25">
      <c r="C14" s="6">
        <v>24847</v>
      </c>
      <c r="D14" s="7" t="s">
        <v>8</v>
      </c>
      <c r="E14" s="7">
        <v>4</v>
      </c>
      <c r="F14" s="7">
        <v>3.28</v>
      </c>
      <c r="G14" s="7">
        <v>4.2</v>
      </c>
      <c r="H14" s="7">
        <f t="shared" si="0"/>
        <v>17.32</v>
      </c>
      <c r="I14" s="7">
        <v>0.56000000000000005</v>
      </c>
      <c r="J14" s="8">
        <f t="shared" si="1"/>
        <v>-1.96</v>
      </c>
    </row>
    <row r="15" spans="3:10" ht="15.75" x14ac:dyDescent="0.25">
      <c r="C15" s="6">
        <v>24848</v>
      </c>
      <c r="D15" s="7" t="s">
        <v>8</v>
      </c>
      <c r="E15" s="7">
        <v>4</v>
      </c>
      <c r="F15" s="7">
        <v>3.58</v>
      </c>
      <c r="G15" s="7">
        <v>1.63</v>
      </c>
      <c r="H15" s="7">
        <f t="shared" si="0"/>
        <v>15.95</v>
      </c>
      <c r="I15" s="7">
        <v>0.36</v>
      </c>
      <c r="J15" s="8">
        <f t="shared" si="1"/>
        <v>-0.18999999999999995</v>
      </c>
    </row>
    <row r="16" spans="3:10" ht="15.75" x14ac:dyDescent="0.25">
      <c r="C16" s="6">
        <v>18181</v>
      </c>
      <c r="D16" s="7" t="s">
        <v>7</v>
      </c>
      <c r="E16" s="7">
        <v>7</v>
      </c>
      <c r="F16" s="7">
        <v>4.42</v>
      </c>
      <c r="G16" s="7">
        <v>4.99</v>
      </c>
      <c r="H16" s="7">
        <f t="shared" si="0"/>
        <v>35.93</v>
      </c>
      <c r="I16" s="7">
        <v>0.38</v>
      </c>
      <c r="J16" s="8">
        <f t="shared" si="1"/>
        <v>-2.33</v>
      </c>
    </row>
    <row r="17" spans="3:10" ht="15.75" x14ac:dyDescent="0.25">
      <c r="C17" s="6">
        <v>20925</v>
      </c>
      <c r="D17" s="7" t="s">
        <v>8</v>
      </c>
      <c r="E17" s="7">
        <v>10</v>
      </c>
      <c r="F17" s="7">
        <v>35.94</v>
      </c>
      <c r="G17" s="7">
        <v>6.66</v>
      </c>
      <c r="H17" s="7">
        <f t="shared" si="0"/>
        <v>366.06</v>
      </c>
      <c r="I17" s="7">
        <v>0.4</v>
      </c>
      <c r="J17" s="8">
        <f t="shared" si="1"/>
        <v>-2.66</v>
      </c>
    </row>
    <row r="18" spans="3:10" ht="15.75" x14ac:dyDescent="0.25">
      <c r="C18" s="6">
        <v>26267</v>
      </c>
      <c r="D18" s="7" t="s">
        <v>5</v>
      </c>
      <c r="E18" s="7">
        <v>6</v>
      </c>
      <c r="F18" s="7">
        <v>2.98</v>
      </c>
      <c r="G18" s="7">
        <v>1.58</v>
      </c>
      <c r="H18" s="7">
        <f t="shared" si="0"/>
        <v>19.46</v>
      </c>
      <c r="I18" s="7">
        <v>0.39</v>
      </c>
      <c r="J18" s="8">
        <f t="shared" si="1"/>
        <v>0.75999999999999979</v>
      </c>
    </row>
    <row r="19" spans="3:10" ht="15.75" x14ac:dyDescent="0.25">
      <c r="C19" s="6">
        <v>26268</v>
      </c>
      <c r="D19" s="7" t="s">
        <v>5</v>
      </c>
      <c r="E19" s="7">
        <v>10</v>
      </c>
      <c r="F19" s="7">
        <v>115.99</v>
      </c>
      <c r="G19" s="7">
        <v>2.5</v>
      </c>
      <c r="H19" s="7">
        <f t="shared" si="0"/>
        <v>1162.3999999999999</v>
      </c>
      <c r="I19" s="7">
        <v>0.55000000000000004</v>
      </c>
      <c r="J19" s="8">
        <f t="shared" si="1"/>
        <v>3</v>
      </c>
    </row>
    <row r="20" spans="3:10" ht="15.75" x14ac:dyDescent="0.25">
      <c r="C20" s="6">
        <v>23890</v>
      </c>
      <c r="D20" s="7" t="s">
        <v>5</v>
      </c>
      <c r="E20" s="7">
        <v>17</v>
      </c>
      <c r="F20" s="7">
        <v>26.48</v>
      </c>
      <c r="G20" s="7">
        <v>6.93</v>
      </c>
      <c r="H20" s="7">
        <f t="shared" si="0"/>
        <v>457.09000000000003</v>
      </c>
      <c r="I20" s="7">
        <v>0.49</v>
      </c>
      <c r="J20" s="8">
        <f t="shared" si="1"/>
        <v>1.4000000000000004</v>
      </c>
    </row>
    <row r="21" spans="3:10" ht="15.75" x14ac:dyDescent="0.25">
      <c r="C21" s="6">
        <v>24063</v>
      </c>
      <c r="D21" s="7" t="s">
        <v>6</v>
      </c>
      <c r="E21" s="7">
        <v>18</v>
      </c>
      <c r="F21" s="7">
        <v>12.99</v>
      </c>
      <c r="G21" s="7">
        <v>9.44</v>
      </c>
      <c r="H21" s="7">
        <f t="shared" si="0"/>
        <v>243.26</v>
      </c>
      <c r="I21" s="7">
        <v>0.39</v>
      </c>
      <c r="J21" s="8">
        <f t="shared" si="1"/>
        <v>-2.419999999999999</v>
      </c>
    </row>
    <row r="22" spans="3:10" ht="15.75" x14ac:dyDescent="0.25">
      <c r="C22" s="6">
        <v>5890</v>
      </c>
      <c r="D22" s="7" t="s">
        <v>5</v>
      </c>
      <c r="E22" s="7">
        <v>70</v>
      </c>
      <c r="F22" s="7">
        <v>26.48</v>
      </c>
      <c r="G22" s="7">
        <v>6.93</v>
      </c>
      <c r="H22" s="7">
        <f t="shared" si="0"/>
        <v>1860.5300000000002</v>
      </c>
      <c r="I22" s="7">
        <v>0.49</v>
      </c>
      <c r="J22" s="8">
        <f t="shared" si="1"/>
        <v>27.369999999999997</v>
      </c>
    </row>
    <row r="23" spans="3:10" ht="15.75" x14ac:dyDescent="0.25">
      <c r="C23" s="6">
        <v>6062</v>
      </c>
      <c r="D23" s="7" t="s">
        <v>6</v>
      </c>
      <c r="E23" s="7">
        <v>58</v>
      </c>
      <c r="F23" s="7">
        <v>5</v>
      </c>
      <c r="G23" s="7">
        <v>3.39</v>
      </c>
      <c r="H23" s="7">
        <f t="shared" si="0"/>
        <v>293.39</v>
      </c>
      <c r="I23" s="7">
        <v>0.37</v>
      </c>
      <c r="J23" s="8">
        <f t="shared" si="1"/>
        <v>18.07</v>
      </c>
    </row>
    <row r="24" spans="3:10" ht="15.75" x14ac:dyDescent="0.25">
      <c r="C24" s="6">
        <v>6063</v>
      </c>
      <c r="D24" s="7" t="s">
        <v>6</v>
      </c>
      <c r="E24" s="7">
        <v>71</v>
      </c>
      <c r="F24" s="7">
        <v>12.99</v>
      </c>
      <c r="G24" s="7">
        <v>9.44</v>
      </c>
      <c r="H24" s="7">
        <f t="shared" si="0"/>
        <v>931.73</v>
      </c>
      <c r="I24" s="7">
        <v>0.39</v>
      </c>
      <c r="J24" s="8">
        <f t="shared" si="1"/>
        <v>18.25</v>
      </c>
    </row>
    <row r="25" spans="3:10" ht="15.75" x14ac:dyDescent="0.25">
      <c r="C25" s="6">
        <v>20631</v>
      </c>
      <c r="D25" s="7" t="s">
        <v>5</v>
      </c>
      <c r="E25" s="7">
        <v>1</v>
      </c>
      <c r="F25" s="7">
        <v>55.48</v>
      </c>
      <c r="G25" s="7">
        <v>14.3</v>
      </c>
      <c r="H25" s="7">
        <f t="shared" si="0"/>
        <v>69.78</v>
      </c>
      <c r="I25" s="7">
        <v>0.37</v>
      </c>
      <c r="J25" s="8">
        <f t="shared" si="1"/>
        <v>-13.930000000000001</v>
      </c>
    </row>
    <row r="26" spans="3:10" ht="15.75" x14ac:dyDescent="0.25">
      <c r="C26" s="6">
        <v>20632</v>
      </c>
      <c r="D26" s="7" t="s">
        <v>5</v>
      </c>
      <c r="E26" s="7">
        <v>1</v>
      </c>
      <c r="F26" s="7">
        <v>1.68</v>
      </c>
      <c r="G26" s="7">
        <v>1.57</v>
      </c>
      <c r="H26" s="7">
        <f t="shared" si="0"/>
        <v>3.25</v>
      </c>
      <c r="I26" s="7">
        <v>0.59</v>
      </c>
      <c r="J26" s="8">
        <f t="shared" si="1"/>
        <v>-0.98000000000000009</v>
      </c>
    </row>
    <row r="27" spans="3:10" ht="15.75" x14ac:dyDescent="0.25">
      <c r="C27" s="6">
        <v>23967</v>
      </c>
      <c r="D27" s="7" t="s">
        <v>6</v>
      </c>
      <c r="E27" s="7">
        <v>12</v>
      </c>
      <c r="F27" s="7">
        <v>4.1399999999999997</v>
      </c>
      <c r="G27" s="7">
        <v>6.6</v>
      </c>
      <c r="H27" s="7">
        <f t="shared" si="0"/>
        <v>56.279999999999994</v>
      </c>
      <c r="I27" s="7">
        <v>0.49</v>
      </c>
      <c r="J27" s="8">
        <f t="shared" si="1"/>
        <v>-0.71999999999999975</v>
      </c>
    </row>
    <row r="28" spans="3:10" ht="15.75" x14ac:dyDescent="0.25">
      <c r="C28" s="6">
        <v>23509</v>
      </c>
      <c r="D28" s="7" t="s">
        <v>5</v>
      </c>
      <c r="E28" s="7">
        <v>13</v>
      </c>
      <c r="F28" s="7">
        <v>34.99</v>
      </c>
      <c r="G28" s="7">
        <v>7.73</v>
      </c>
      <c r="H28" s="7">
        <f t="shared" si="0"/>
        <v>462.6</v>
      </c>
      <c r="I28" s="7">
        <v>0.59</v>
      </c>
      <c r="J28" s="8">
        <f t="shared" si="1"/>
        <v>-6.0000000000000497E-2</v>
      </c>
    </row>
    <row r="29" spans="3:10" ht="15.75" x14ac:dyDescent="0.25">
      <c r="C29" s="6">
        <v>23612</v>
      </c>
      <c r="D29" s="7" t="s">
        <v>5</v>
      </c>
      <c r="E29" s="7">
        <v>2</v>
      </c>
      <c r="F29" s="7">
        <v>17.98</v>
      </c>
      <c r="G29" s="7">
        <v>8.51</v>
      </c>
      <c r="H29" s="7">
        <f t="shared" si="0"/>
        <v>44.47</v>
      </c>
      <c r="I29" s="7">
        <v>0.4</v>
      </c>
      <c r="J29" s="8">
        <f t="shared" si="1"/>
        <v>-7.71</v>
      </c>
    </row>
    <row r="30" spans="3:10" ht="15.75" x14ac:dyDescent="0.25">
      <c r="C30" s="6">
        <v>23278</v>
      </c>
      <c r="D30" s="7" t="s">
        <v>8</v>
      </c>
      <c r="E30" s="7">
        <v>8</v>
      </c>
      <c r="F30" s="7">
        <v>125.99</v>
      </c>
      <c r="G30" s="7">
        <v>7.69</v>
      </c>
      <c r="H30" s="7">
        <f t="shared" si="0"/>
        <v>1015.61</v>
      </c>
      <c r="I30" s="7">
        <v>0.59</v>
      </c>
      <c r="J30" s="8">
        <f t="shared" si="1"/>
        <v>-2.9700000000000006</v>
      </c>
    </row>
    <row r="31" spans="3:10" ht="15.75" x14ac:dyDescent="0.25">
      <c r="C31" s="6">
        <v>19355</v>
      </c>
      <c r="D31" s="7" t="s">
        <v>9</v>
      </c>
      <c r="E31" s="7">
        <v>22</v>
      </c>
      <c r="F31" s="7">
        <v>205.99</v>
      </c>
      <c r="G31" s="7">
        <v>8.99</v>
      </c>
      <c r="H31" s="7">
        <f t="shared" si="0"/>
        <v>4540.7700000000004</v>
      </c>
      <c r="I31" s="7">
        <v>0.56000000000000005</v>
      </c>
      <c r="J31" s="8">
        <f t="shared" si="1"/>
        <v>3.33</v>
      </c>
    </row>
    <row r="32" spans="3:10" ht="15.75" x14ac:dyDescent="0.25">
      <c r="C32" s="6">
        <v>23654</v>
      </c>
      <c r="D32" s="7" t="s">
        <v>6</v>
      </c>
      <c r="E32" s="7">
        <v>13</v>
      </c>
      <c r="F32" s="7">
        <v>4.24</v>
      </c>
      <c r="G32" s="7">
        <v>5.41</v>
      </c>
      <c r="H32" s="7">
        <f t="shared" si="0"/>
        <v>60.53</v>
      </c>
      <c r="I32" s="7">
        <v>0.35</v>
      </c>
      <c r="J32" s="8">
        <f t="shared" si="1"/>
        <v>-0.86000000000000032</v>
      </c>
    </row>
    <row r="33" spans="3:10" ht="15.75" x14ac:dyDescent="0.25">
      <c r="C33" s="6">
        <v>23655</v>
      </c>
      <c r="D33" s="7" t="s">
        <v>6</v>
      </c>
      <c r="E33" s="7">
        <v>18</v>
      </c>
      <c r="F33" s="7">
        <v>2.94</v>
      </c>
      <c r="G33" s="7">
        <v>0.7</v>
      </c>
      <c r="H33" s="7">
        <f t="shared" si="0"/>
        <v>53.620000000000005</v>
      </c>
      <c r="I33" s="7">
        <v>0.57999999999999996</v>
      </c>
      <c r="J33" s="8">
        <f t="shared" si="1"/>
        <v>9.74</v>
      </c>
    </row>
    <row r="34" spans="3:10" ht="15.75" x14ac:dyDescent="0.25">
      <c r="C34" s="6">
        <v>25933</v>
      </c>
      <c r="D34" s="7" t="s">
        <v>5</v>
      </c>
      <c r="E34" s="7">
        <v>6</v>
      </c>
      <c r="F34" s="7">
        <v>99.99</v>
      </c>
      <c r="G34" s="7">
        <v>19.989999999999998</v>
      </c>
      <c r="H34" s="7">
        <f t="shared" si="0"/>
        <v>619.92999999999995</v>
      </c>
      <c r="I34" s="7">
        <v>0.52</v>
      </c>
      <c r="J34" s="8">
        <f t="shared" si="1"/>
        <v>-16.869999999999997</v>
      </c>
    </row>
    <row r="35" spans="3:10" ht="15.75" x14ac:dyDescent="0.25">
      <c r="C35" s="6">
        <v>20697</v>
      </c>
      <c r="D35" s="7" t="s">
        <v>8</v>
      </c>
      <c r="E35" s="7">
        <v>6</v>
      </c>
      <c r="F35" s="7">
        <v>115.99</v>
      </c>
      <c r="G35" s="7">
        <v>2.5</v>
      </c>
      <c r="H35" s="7">
        <f t="shared" si="0"/>
        <v>698.43999999999994</v>
      </c>
      <c r="I35" s="7">
        <v>0.56999999999999995</v>
      </c>
      <c r="J35" s="8">
        <f t="shared" si="1"/>
        <v>0.91999999999999993</v>
      </c>
    </row>
    <row r="36" spans="3:10" ht="15.75" x14ac:dyDescent="0.25">
      <c r="C36" s="6">
        <v>20698</v>
      </c>
      <c r="D36" s="7" t="s">
        <v>8</v>
      </c>
      <c r="E36" s="7">
        <v>1</v>
      </c>
      <c r="F36" s="7">
        <v>3502.14</v>
      </c>
      <c r="G36" s="7">
        <v>8.73</v>
      </c>
      <c r="H36" s="7">
        <f t="shared" si="0"/>
        <v>3510.87</v>
      </c>
      <c r="I36" s="7">
        <v>0.56999999999999995</v>
      </c>
      <c r="J36" s="8">
        <f t="shared" si="1"/>
        <v>-8.16</v>
      </c>
    </row>
    <row r="37" spans="3:10" ht="15.75" x14ac:dyDescent="0.25">
      <c r="C37" s="6">
        <v>22890</v>
      </c>
      <c r="D37" s="7" t="s">
        <v>5</v>
      </c>
      <c r="E37" s="7">
        <v>17</v>
      </c>
      <c r="F37" s="7">
        <v>175.99</v>
      </c>
      <c r="G37" s="7">
        <v>5.79</v>
      </c>
      <c r="H37" s="7">
        <f t="shared" si="0"/>
        <v>2997.62</v>
      </c>
      <c r="I37" s="7">
        <v>0.36</v>
      </c>
      <c r="J37" s="8">
        <f t="shared" si="1"/>
        <v>0.33000000000000007</v>
      </c>
    </row>
    <row r="38" spans="3:10" ht="15.75" x14ac:dyDescent="0.25">
      <c r="C38" s="6">
        <v>25354</v>
      </c>
      <c r="D38" s="7" t="s">
        <v>5</v>
      </c>
      <c r="E38" s="7">
        <v>20</v>
      </c>
      <c r="F38" s="7">
        <v>155.06</v>
      </c>
      <c r="G38" s="7">
        <v>1.49</v>
      </c>
      <c r="H38" s="7">
        <f t="shared" si="0"/>
        <v>3102.6899999999996</v>
      </c>
      <c r="I38" s="7">
        <v>0.38</v>
      </c>
      <c r="J38" s="8">
        <f t="shared" si="1"/>
        <v>6.1099999999999994</v>
      </c>
    </row>
    <row r="39" spans="3:10" ht="15.75" x14ac:dyDescent="0.25">
      <c r="C39" s="6">
        <v>21017</v>
      </c>
      <c r="D39" s="7" t="s">
        <v>6</v>
      </c>
      <c r="E39" s="7">
        <v>17</v>
      </c>
      <c r="F39" s="7">
        <v>5.98</v>
      </c>
      <c r="G39" s="7">
        <v>0.7</v>
      </c>
      <c r="H39" s="7">
        <f t="shared" si="0"/>
        <v>102.36000000000001</v>
      </c>
      <c r="I39" s="7">
        <v>0.56000000000000005</v>
      </c>
      <c r="J39" s="8">
        <f t="shared" si="1"/>
        <v>8.8200000000000021</v>
      </c>
    </row>
    <row r="40" spans="3:10" ht="15.75" x14ac:dyDescent="0.25">
      <c r="C40" s="6">
        <v>21019</v>
      </c>
      <c r="D40" s="7" t="s">
        <v>6</v>
      </c>
      <c r="E40" s="7">
        <v>3</v>
      </c>
      <c r="F40" s="7">
        <v>29.14</v>
      </c>
      <c r="G40" s="7">
        <v>5.15</v>
      </c>
      <c r="H40" s="7">
        <f t="shared" si="0"/>
        <v>92.570000000000007</v>
      </c>
      <c r="I40" s="7">
        <v>0.36</v>
      </c>
      <c r="J40" s="8">
        <f t="shared" si="1"/>
        <v>-4.07</v>
      </c>
    </row>
    <row r="41" spans="3:10" ht="15.75" thickBot="1" x14ac:dyDescent="0.3">
      <c r="C41" s="9">
        <v>23274</v>
      </c>
      <c r="D41" s="10" t="s">
        <v>9</v>
      </c>
      <c r="E41" s="10">
        <v>17</v>
      </c>
      <c r="F41" s="10">
        <v>3.69</v>
      </c>
      <c r="G41" s="10">
        <v>4.8600000000000003</v>
      </c>
      <c r="H41" s="10">
        <f t="shared" si="0"/>
        <v>67.59</v>
      </c>
      <c r="I41" s="10">
        <v>0.38</v>
      </c>
      <c r="J41" s="11">
        <f t="shared" si="1"/>
        <v>1.5999999999999996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9D4F0-DA37-4F41-8CBB-BEA651305C35}">
  <sheetPr codeName="Sheet2"/>
  <dimension ref="C7:J41"/>
  <sheetViews>
    <sheetView workbookViewId="0">
      <selection activeCell="B5" sqref="B5"/>
    </sheetView>
  </sheetViews>
  <sheetFormatPr defaultRowHeight="15" x14ac:dyDescent="0.25"/>
  <cols>
    <col min="3" max="3" width="19.28515625" customWidth="1"/>
    <col min="4" max="4" width="29.85546875" customWidth="1"/>
    <col min="5" max="5" width="28.140625" customWidth="1"/>
    <col min="6" max="6" width="14" customWidth="1"/>
    <col min="7" max="7" width="18" customWidth="1"/>
    <col min="8" max="8" width="13.7109375" customWidth="1"/>
    <col min="9" max="9" width="14.42578125" customWidth="1"/>
    <col min="10" max="10" width="12.7109375" customWidth="1"/>
  </cols>
  <sheetData>
    <row r="7" spans="3:10" ht="15.75" thickBot="1" x14ac:dyDescent="0.3"/>
    <row r="8" spans="3:10" ht="18.75" x14ac:dyDescent="0.3">
      <c r="C8" s="3" t="s">
        <v>3</v>
      </c>
      <c r="D8" s="4" t="s">
        <v>4</v>
      </c>
      <c r="E8" s="4" t="s">
        <v>11</v>
      </c>
      <c r="F8" s="4" t="s">
        <v>12</v>
      </c>
      <c r="G8" s="4" t="s">
        <v>13</v>
      </c>
      <c r="H8" s="4" t="s">
        <v>14</v>
      </c>
      <c r="I8" s="4" t="s">
        <v>15</v>
      </c>
      <c r="J8" s="5" t="s">
        <v>10</v>
      </c>
    </row>
    <row r="9" spans="3:10" ht="15.75" x14ac:dyDescent="0.25">
      <c r="C9" s="6">
        <v>20847</v>
      </c>
      <c r="D9" s="7" t="s">
        <v>5</v>
      </c>
      <c r="E9" s="7">
        <v>4</v>
      </c>
      <c r="F9" s="7">
        <v>2.84</v>
      </c>
      <c r="G9" s="7">
        <v>0.93</v>
      </c>
      <c r="H9" s="7">
        <f>(E9*F9)+G9</f>
        <v>12.29</v>
      </c>
      <c r="I9" s="7">
        <v>0.54</v>
      </c>
      <c r="J9" s="8">
        <f>I9*E9-G9</f>
        <v>1.23</v>
      </c>
    </row>
    <row r="10" spans="3:10" ht="15.75" x14ac:dyDescent="0.25">
      <c r="C10" s="6">
        <v>20228</v>
      </c>
      <c r="D10" s="7" t="s">
        <v>6</v>
      </c>
      <c r="E10" s="7">
        <v>12</v>
      </c>
      <c r="F10" s="7">
        <v>500.98</v>
      </c>
      <c r="G10" s="7">
        <v>26</v>
      </c>
      <c r="H10" s="7">
        <f t="shared" ref="H10:H41" si="0">(E10*F10)+G10</f>
        <v>6037.76</v>
      </c>
      <c r="I10" s="7">
        <v>0.6</v>
      </c>
      <c r="J10" s="8">
        <f t="shared" ref="J10:J41" si="1">I10*E10-G10</f>
        <v>-18.8</v>
      </c>
    </row>
    <row r="11" spans="3:10" ht="15.75" x14ac:dyDescent="0.25">
      <c r="C11" s="6">
        <v>21776</v>
      </c>
      <c r="D11" s="7" t="s">
        <v>7</v>
      </c>
      <c r="E11" s="7">
        <v>22</v>
      </c>
      <c r="F11" s="7">
        <v>9.48</v>
      </c>
      <c r="G11" s="7">
        <v>7.29</v>
      </c>
      <c r="H11" s="7">
        <f t="shared" si="0"/>
        <v>215.85</v>
      </c>
      <c r="I11" s="7">
        <v>0.45</v>
      </c>
      <c r="J11" s="8">
        <f t="shared" si="1"/>
        <v>2.6100000000000003</v>
      </c>
    </row>
    <row r="12" spans="3:10" ht="15.75" x14ac:dyDescent="0.25">
      <c r="C12" s="6">
        <v>24844</v>
      </c>
      <c r="D12" s="7" t="s">
        <v>8</v>
      </c>
      <c r="E12" s="7">
        <v>16</v>
      </c>
      <c r="F12" s="7">
        <v>78.69</v>
      </c>
      <c r="G12" s="7">
        <v>19.989999999999998</v>
      </c>
      <c r="H12" s="7">
        <f t="shared" si="0"/>
        <v>1279.03</v>
      </c>
      <c r="I12" s="7">
        <v>0.43</v>
      </c>
      <c r="J12" s="8">
        <f t="shared" si="1"/>
        <v>-13.11</v>
      </c>
    </row>
    <row r="13" spans="3:10" ht="15.75" x14ac:dyDescent="0.25">
      <c r="C13" s="6">
        <v>24846</v>
      </c>
      <c r="D13" s="7" t="s">
        <v>8</v>
      </c>
      <c r="E13" s="7">
        <v>7</v>
      </c>
      <c r="F13" s="7">
        <v>3.28</v>
      </c>
      <c r="G13" s="7">
        <v>2.31</v>
      </c>
      <c r="H13" s="7">
        <f t="shared" si="0"/>
        <v>25.269999999999996</v>
      </c>
      <c r="I13" s="7">
        <v>0.56000000000000005</v>
      </c>
      <c r="J13" s="8">
        <f t="shared" si="1"/>
        <v>1.6100000000000003</v>
      </c>
    </row>
    <row r="14" spans="3:10" ht="15.75" x14ac:dyDescent="0.25">
      <c r="C14" s="6">
        <v>24847</v>
      </c>
      <c r="D14" s="7" t="s">
        <v>8</v>
      </c>
      <c r="E14" s="7">
        <v>4</v>
      </c>
      <c r="F14" s="7">
        <v>3.28</v>
      </c>
      <c r="G14" s="7">
        <v>4.2</v>
      </c>
      <c r="H14" s="7">
        <f t="shared" si="0"/>
        <v>17.32</v>
      </c>
      <c r="I14" s="7">
        <v>0.56000000000000005</v>
      </c>
      <c r="J14" s="8">
        <f t="shared" si="1"/>
        <v>-1.96</v>
      </c>
    </row>
    <row r="15" spans="3:10" ht="15.75" x14ac:dyDescent="0.25">
      <c r="C15" s="6">
        <v>24848</v>
      </c>
      <c r="D15" s="7" t="s">
        <v>8</v>
      </c>
      <c r="E15" s="7">
        <v>4</v>
      </c>
      <c r="F15" s="7">
        <v>3.58</v>
      </c>
      <c r="G15" s="7">
        <v>1.63</v>
      </c>
      <c r="H15" s="7">
        <f t="shared" si="0"/>
        <v>15.95</v>
      </c>
      <c r="I15" s="7">
        <v>0.36</v>
      </c>
      <c r="J15" s="8">
        <f t="shared" si="1"/>
        <v>-0.18999999999999995</v>
      </c>
    </row>
    <row r="16" spans="3:10" ht="15.75" x14ac:dyDescent="0.25">
      <c r="C16" s="6">
        <v>18181</v>
      </c>
      <c r="D16" s="7" t="s">
        <v>7</v>
      </c>
      <c r="E16" s="7">
        <v>7</v>
      </c>
      <c r="F16" s="7">
        <v>4.42</v>
      </c>
      <c r="G16" s="7">
        <v>4.99</v>
      </c>
      <c r="H16" s="7">
        <f t="shared" si="0"/>
        <v>35.93</v>
      </c>
      <c r="I16" s="7">
        <v>0.38</v>
      </c>
      <c r="J16" s="8">
        <f t="shared" si="1"/>
        <v>-2.33</v>
      </c>
    </row>
    <row r="17" spans="3:10" ht="15.75" x14ac:dyDescent="0.25">
      <c r="C17" s="6">
        <v>20925</v>
      </c>
      <c r="D17" s="7" t="s">
        <v>8</v>
      </c>
      <c r="E17" s="7">
        <v>10</v>
      </c>
      <c r="F17" s="7">
        <v>35.94</v>
      </c>
      <c r="G17" s="7">
        <v>6.66</v>
      </c>
      <c r="H17" s="7">
        <f t="shared" si="0"/>
        <v>366.06</v>
      </c>
      <c r="I17" s="7">
        <v>0.4</v>
      </c>
      <c r="J17" s="8">
        <f t="shared" si="1"/>
        <v>-2.66</v>
      </c>
    </row>
    <row r="18" spans="3:10" ht="15.75" x14ac:dyDescent="0.25">
      <c r="C18" s="6">
        <v>26267</v>
      </c>
      <c r="D18" s="7" t="s">
        <v>5</v>
      </c>
      <c r="E18" s="7">
        <v>6</v>
      </c>
      <c r="F18" s="7">
        <v>2.98</v>
      </c>
      <c r="G18" s="7">
        <v>1.58</v>
      </c>
      <c r="H18" s="7">
        <f t="shared" si="0"/>
        <v>19.46</v>
      </c>
      <c r="I18" s="7">
        <v>0.39</v>
      </c>
      <c r="J18" s="8">
        <f t="shared" si="1"/>
        <v>0.75999999999999979</v>
      </c>
    </row>
    <row r="19" spans="3:10" ht="15.75" x14ac:dyDescent="0.25">
      <c r="C19" s="6">
        <v>26268</v>
      </c>
      <c r="D19" s="7" t="s">
        <v>5</v>
      </c>
      <c r="E19" s="7">
        <v>10</v>
      </c>
      <c r="F19" s="7">
        <v>115.99</v>
      </c>
      <c r="G19" s="7">
        <v>2.5</v>
      </c>
      <c r="H19" s="7">
        <f t="shared" si="0"/>
        <v>1162.3999999999999</v>
      </c>
      <c r="I19" s="7">
        <v>0.55000000000000004</v>
      </c>
      <c r="J19" s="8">
        <f t="shared" si="1"/>
        <v>3</v>
      </c>
    </row>
    <row r="20" spans="3:10" ht="15.75" x14ac:dyDescent="0.25">
      <c r="C20" s="6">
        <v>23890</v>
      </c>
      <c r="D20" s="7" t="s">
        <v>5</v>
      </c>
      <c r="E20" s="7">
        <v>17</v>
      </c>
      <c r="F20" s="7">
        <v>26.48</v>
      </c>
      <c r="G20" s="7">
        <v>6.93</v>
      </c>
      <c r="H20" s="7">
        <f t="shared" si="0"/>
        <v>457.09000000000003</v>
      </c>
      <c r="I20" s="7">
        <v>0.49</v>
      </c>
      <c r="J20" s="8">
        <f t="shared" si="1"/>
        <v>1.4000000000000004</v>
      </c>
    </row>
    <row r="21" spans="3:10" ht="15.75" x14ac:dyDescent="0.25">
      <c r="C21" s="6">
        <v>24063</v>
      </c>
      <c r="D21" s="7" t="s">
        <v>6</v>
      </c>
      <c r="E21" s="7">
        <v>18</v>
      </c>
      <c r="F21" s="7">
        <v>12.99</v>
      </c>
      <c r="G21" s="7">
        <v>9.44</v>
      </c>
      <c r="H21" s="7">
        <f t="shared" si="0"/>
        <v>243.26</v>
      </c>
      <c r="I21" s="7">
        <v>0.39</v>
      </c>
      <c r="J21" s="8">
        <f t="shared" si="1"/>
        <v>-2.419999999999999</v>
      </c>
    </row>
    <row r="22" spans="3:10" ht="15.75" x14ac:dyDescent="0.25">
      <c r="C22" s="6">
        <v>5890</v>
      </c>
      <c r="D22" s="7" t="s">
        <v>5</v>
      </c>
      <c r="E22" s="7">
        <v>70</v>
      </c>
      <c r="F22" s="7">
        <v>26.48</v>
      </c>
      <c r="G22" s="7">
        <v>6.93</v>
      </c>
      <c r="H22" s="7">
        <f t="shared" si="0"/>
        <v>1860.5300000000002</v>
      </c>
      <c r="I22" s="7">
        <v>0.49</v>
      </c>
      <c r="J22" s="8">
        <f t="shared" si="1"/>
        <v>27.369999999999997</v>
      </c>
    </row>
    <row r="23" spans="3:10" ht="15.75" x14ac:dyDescent="0.25">
      <c r="C23" s="6">
        <v>6062</v>
      </c>
      <c r="D23" s="7" t="s">
        <v>6</v>
      </c>
      <c r="E23" s="7">
        <v>58</v>
      </c>
      <c r="F23" s="7">
        <v>5</v>
      </c>
      <c r="G23" s="7">
        <v>3.39</v>
      </c>
      <c r="H23" s="7">
        <f t="shared" si="0"/>
        <v>293.39</v>
      </c>
      <c r="I23" s="7">
        <v>0.37</v>
      </c>
      <c r="J23" s="8">
        <f t="shared" si="1"/>
        <v>18.07</v>
      </c>
    </row>
    <row r="24" spans="3:10" ht="15.75" x14ac:dyDescent="0.25">
      <c r="C24" s="6">
        <v>6063</v>
      </c>
      <c r="D24" s="7" t="s">
        <v>6</v>
      </c>
      <c r="E24" s="7">
        <v>71</v>
      </c>
      <c r="F24" s="7">
        <v>12.99</v>
      </c>
      <c r="G24" s="7">
        <v>9.44</v>
      </c>
      <c r="H24" s="7">
        <f t="shared" si="0"/>
        <v>931.73</v>
      </c>
      <c r="I24" s="7">
        <v>0.39</v>
      </c>
      <c r="J24" s="8">
        <f t="shared" si="1"/>
        <v>18.25</v>
      </c>
    </row>
    <row r="25" spans="3:10" ht="15.75" x14ac:dyDescent="0.25">
      <c r="C25" s="6">
        <v>20631</v>
      </c>
      <c r="D25" s="7" t="s">
        <v>5</v>
      </c>
      <c r="E25" s="7">
        <v>1</v>
      </c>
      <c r="F25" s="7">
        <v>55.48</v>
      </c>
      <c r="G25" s="7">
        <v>14.3</v>
      </c>
      <c r="H25" s="7">
        <f t="shared" si="0"/>
        <v>69.78</v>
      </c>
      <c r="I25" s="7">
        <v>0.37</v>
      </c>
      <c r="J25" s="8">
        <f t="shared" si="1"/>
        <v>-13.930000000000001</v>
      </c>
    </row>
    <row r="26" spans="3:10" ht="15.75" x14ac:dyDescent="0.25">
      <c r="C26" s="6">
        <v>20632</v>
      </c>
      <c r="D26" s="7" t="s">
        <v>5</v>
      </c>
      <c r="E26" s="7">
        <v>1</v>
      </c>
      <c r="F26" s="7">
        <v>1.68</v>
      </c>
      <c r="G26" s="7">
        <v>1.57</v>
      </c>
      <c r="H26" s="7">
        <f t="shared" si="0"/>
        <v>3.25</v>
      </c>
      <c r="I26" s="7">
        <v>0.59</v>
      </c>
      <c r="J26" s="8">
        <f t="shared" si="1"/>
        <v>-0.98000000000000009</v>
      </c>
    </row>
    <row r="27" spans="3:10" ht="15.75" x14ac:dyDescent="0.25">
      <c r="C27" s="6">
        <v>23967</v>
      </c>
      <c r="D27" s="7" t="s">
        <v>6</v>
      </c>
      <c r="E27" s="7">
        <v>12</v>
      </c>
      <c r="F27" s="7">
        <v>4.1399999999999997</v>
      </c>
      <c r="G27" s="7">
        <v>6.6</v>
      </c>
      <c r="H27" s="7">
        <f t="shared" si="0"/>
        <v>56.279999999999994</v>
      </c>
      <c r="I27" s="7">
        <v>0.49</v>
      </c>
      <c r="J27" s="8">
        <f t="shared" si="1"/>
        <v>-0.71999999999999975</v>
      </c>
    </row>
    <row r="28" spans="3:10" ht="15.75" x14ac:dyDescent="0.25">
      <c r="C28" s="6">
        <v>23509</v>
      </c>
      <c r="D28" s="7" t="s">
        <v>5</v>
      </c>
      <c r="E28" s="7">
        <v>13</v>
      </c>
      <c r="F28" s="7">
        <v>34.99</v>
      </c>
      <c r="G28" s="7">
        <v>7.73</v>
      </c>
      <c r="H28" s="7">
        <f t="shared" si="0"/>
        <v>462.6</v>
      </c>
      <c r="I28" s="7">
        <v>0.59</v>
      </c>
      <c r="J28" s="8">
        <f t="shared" si="1"/>
        <v>-6.0000000000000497E-2</v>
      </c>
    </row>
    <row r="29" spans="3:10" ht="15.75" x14ac:dyDescent="0.25">
      <c r="C29" s="6">
        <v>23612</v>
      </c>
      <c r="D29" s="7" t="s">
        <v>5</v>
      </c>
      <c r="E29" s="7">
        <v>2</v>
      </c>
      <c r="F29" s="7">
        <v>17.98</v>
      </c>
      <c r="G29" s="7">
        <v>8.51</v>
      </c>
      <c r="H29" s="7">
        <f t="shared" si="0"/>
        <v>44.47</v>
      </c>
      <c r="I29" s="7">
        <v>0.4</v>
      </c>
      <c r="J29" s="8">
        <f t="shared" si="1"/>
        <v>-7.71</v>
      </c>
    </row>
    <row r="30" spans="3:10" ht="15.75" x14ac:dyDescent="0.25">
      <c r="C30" s="6">
        <v>23278</v>
      </c>
      <c r="D30" s="7" t="s">
        <v>8</v>
      </c>
      <c r="E30" s="7">
        <v>8</v>
      </c>
      <c r="F30" s="7">
        <v>125.99</v>
      </c>
      <c r="G30" s="7">
        <v>7.69</v>
      </c>
      <c r="H30" s="7">
        <f t="shared" si="0"/>
        <v>1015.61</v>
      </c>
      <c r="I30" s="7">
        <v>0.59</v>
      </c>
      <c r="J30" s="8">
        <f t="shared" si="1"/>
        <v>-2.9700000000000006</v>
      </c>
    </row>
    <row r="31" spans="3:10" ht="15.75" x14ac:dyDescent="0.25">
      <c r="C31" s="6">
        <v>19355</v>
      </c>
      <c r="D31" s="7" t="s">
        <v>9</v>
      </c>
      <c r="E31" s="7">
        <v>22</v>
      </c>
      <c r="F31" s="7">
        <v>205.99</v>
      </c>
      <c r="G31" s="7">
        <v>8.99</v>
      </c>
      <c r="H31" s="7">
        <f t="shared" si="0"/>
        <v>4540.7700000000004</v>
      </c>
      <c r="I31" s="7">
        <v>0.56000000000000005</v>
      </c>
      <c r="J31" s="8">
        <f t="shared" si="1"/>
        <v>3.33</v>
      </c>
    </row>
    <row r="32" spans="3:10" ht="15.75" x14ac:dyDescent="0.25">
      <c r="C32" s="6">
        <v>23654</v>
      </c>
      <c r="D32" s="7" t="s">
        <v>6</v>
      </c>
      <c r="E32" s="7">
        <v>13</v>
      </c>
      <c r="F32" s="7">
        <v>4.24</v>
      </c>
      <c r="G32" s="7">
        <v>5.41</v>
      </c>
      <c r="H32" s="7">
        <f t="shared" si="0"/>
        <v>60.53</v>
      </c>
      <c r="I32" s="7">
        <v>0.35</v>
      </c>
      <c r="J32" s="8">
        <f t="shared" si="1"/>
        <v>-0.86000000000000032</v>
      </c>
    </row>
    <row r="33" spans="3:10" ht="15.75" x14ac:dyDescent="0.25">
      <c r="C33" s="6">
        <v>23655</v>
      </c>
      <c r="D33" s="7" t="s">
        <v>6</v>
      </c>
      <c r="E33" s="7">
        <v>18</v>
      </c>
      <c r="F33" s="7">
        <v>2.94</v>
      </c>
      <c r="G33" s="7">
        <v>0.7</v>
      </c>
      <c r="H33" s="7">
        <f t="shared" si="0"/>
        <v>53.620000000000005</v>
      </c>
      <c r="I33" s="7">
        <v>0.57999999999999996</v>
      </c>
      <c r="J33" s="8">
        <f t="shared" si="1"/>
        <v>9.74</v>
      </c>
    </row>
    <row r="34" spans="3:10" ht="15.75" x14ac:dyDescent="0.25">
      <c r="C34" s="6">
        <v>25933</v>
      </c>
      <c r="D34" s="7" t="s">
        <v>5</v>
      </c>
      <c r="E34" s="7">
        <v>6</v>
      </c>
      <c r="F34" s="7">
        <v>99.99</v>
      </c>
      <c r="G34" s="7">
        <v>19.989999999999998</v>
      </c>
      <c r="H34" s="7">
        <f t="shared" si="0"/>
        <v>619.92999999999995</v>
      </c>
      <c r="I34" s="7">
        <v>0.52</v>
      </c>
      <c r="J34" s="8">
        <f t="shared" si="1"/>
        <v>-16.869999999999997</v>
      </c>
    </row>
    <row r="35" spans="3:10" ht="15.75" x14ac:dyDescent="0.25">
      <c r="C35" s="6">
        <v>20697</v>
      </c>
      <c r="D35" s="7" t="s">
        <v>8</v>
      </c>
      <c r="E35" s="7">
        <v>6</v>
      </c>
      <c r="F35" s="7">
        <v>115.99</v>
      </c>
      <c r="G35" s="7">
        <v>2.5</v>
      </c>
      <c r="H35" s="7">
        <f t="shared" si="0"/>
        <v>698.43999999999994</v>
      </c>
      <c r="I35" s="7">
        <v>0.56999999999999995</v>
      </c>
      <c r="J35" s="8">
        <f t="shared" si="1"/>
        <v>0.91999999999999993</v>
      </c>
    </row>
    <row r="36" spans="3:10" ht="15.75" x14ac:dyDescent="0.25">
      <c r="C36" s="6">
        <v>20698</v>
      </c>
      <c r="D36" s="7" t="s">
        <v>8</v>
      </c>
      <c r="E36" s="7">
        <v>1</v>
      </c>
      <c r="F36" s="7">
        <v>3502.14</v>
      </c>
      <c r="G36" s="7">
        <v>8.73</v>
      </c>
      <c r="H36" s="7">
        <f t="shared" si="0"/>
        <v>3510.87</v>
      </c>
      <c r="I36" s="7">
        <v>0.56999999999999995</v>
      </c>
      <c r="J36" s="8">
        <f t="shared" si="1"/>
        <v>-8.16</v>
      </c>
    </row>
    <row r="37" spans="3:10" ht="15.75" x14ac:dyDescent="0.25">
      <c r="C37" s="6">
        <v>22890</v>
      </c>
      <c r="D37" s="7" t="s">
        <v>5</v>
      </c>
      <c r="E37" s="7">
        <v>17</v>
      </c>
      <c r="F37" s="7">
        <v>175.99</v>
      </c>
      <c r="G37" s="7">
        <v>5.79</v>
      </c>
      <c r="H37" s="7">
        <f t="shared" si="0"/>
        <v>2997.62</v>
      </c>
      <c r="I37" s="7">
        <v>0.36</v>
      </c>
      <c r="J37" s="8">
        <f t="shared" si="1"/>
        <v>0.33000000000000007</v>
      </c>
    </row>
    <row r="38" spans="3:10" ht="15.75" x14ac:dyDescent="0.25">
      <c r="C38" s="6">
        <v>25354</v>
      </c>
      <c r="D38" s="7" t="s">
        <v>5</v>
      </c>
      <c r="E38" s="7">
        <v>20</v>
      </c>
      <c r="F38" s="7">
        <v>155.06</v>
      </c>
      <c r="G38" s="7">
        <v>1.49</v>
      </c>
      <c r="H38" s="7">
        <f t="shared" si="0"/>
        <v>3102.6899999999996</v>
      </c>
      <c r="I38" s="7">
        <v>0.38</v>
      </c>
      <c r="J38" s="8">
        <f t="shared" si="1"/>
        <v>6.1099999999999994</v>
      </c>
    </row>
    <row r="39" spans="3:10" ht="15.75" x14ac:dyDescent="0.25">
      <c r="C39" s="6">
        <v>21017</v>
      </c>
      <c r="D39" s="7" t="s">
        <v>6</v>
      </c>
      <c r="E39" s="7">
        <v>17</v>
      </c>
      <c r="F39" s="7">
        <v>5.98</v>
      </c>
      <c r="G39" s="7">
        <v>0.7</v>
      </c>
      <c r="H39" s="7">
        <f t="shared" si="0"/>
        <v>102.36000000000001</v>
      </c>
      <c r="I39" s="7">
        <v>0.56000000000000005</v>
      </c>
      <c r="J39" s="8">
        <f t="shared" si="1"/>
        <v>8.8200000000000021</v>
      </c>
    </row>
    <row r="40" spans="3:10" ht="15.75" x14ac:dyDescent="0.25">
      <c r="C40" s="6">
        <v>21019</v>
      </c>
      <c r="D40" s="7" t="s">
        <v>6</v>
      </c>
      <c r="E40" s="7">
        <v>3</v>
      </c>
      <c r="F40" s="7">
        <v>29.14</v>
      </c>
      <c r="G40" s="7">
        <v>5.15</v>
      </c>
      <c r="H40" s="7">
        <f t="shared" si="0"/>
        <v>92.570000000000007</v>
      </c>
      <c r="I40" s="7">
        <v>0.36</v>
      </c>
      <c r="J40" s="8">
        <f t="shared" si="1"/>
        <v>-4.07</v>
      </c>
    </row>
    <row r="41" spans="3:10" ht="15.75" thickBot="1" x14ac:dyDescent="0.3">
      <c r="C41" s="9">
        <v>23274</v>
      </c>
      <c r="D41" s="10" t="s">
        <v>9</v>
      </c>
      <c r="E41" s="10">
        <v>17</v>
      </c>
      <c r="F41" s="10">
        <v>3.69</v>
      </c>
      <c r="G41" s="10">
        <v>4.8600000000000003</v>
      </c>
      <c r="H41" s="10">
        <f t="shared" si="0"/>
        <v>67.59</v>
      </c>
      <c r="I41" s="10">
        <v>0.38</v>
      </c>
      <c r="J41" s="11">
        <f t="shared" si="1"/>
        <v>1.5999999999999996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3"/>
  <dimension ref="C2:O21"/>
  <sheetViews>
    <sheetView workbookViewId="0">
      <selection activeCell="H8" sqref="H8"/>
    </sheetView>
  </sheetViews>
  <sheetFormatPr defaultRowHeight="15" x14ac:dyDescent="0.25"/>
  <cols>
    <col min="4" max="6" width="9.140625" customWidth="1"/>
    <col min="7" max="7" width="22.42578125" style="18" customWidth="1"/>
    <col min="8" max="8" width="41.42578125" customWidth="1"/>
    <col min="9" max="9" width="21.5703125" customWidth="1"/>
  </cols>
  <sheetData>
    <row r="2" spans="3:10" ht="15.75" thickBot="1" x14ac:dyDescent="0.3"/>
    <row r="3" spans="3:10" x14ac:dyDescent="0.25">
      <c r="C3" s="1"/>
      <c r="F3" s="27"/>
      <c r="G3" s="28"/>
      <c r="H3" s="29"/>
      <c r="I3" s="29"/>
      <c r="J3" s="30"/>
    </row>
    <row r="4" spans="3:10" x14ac:dyDescent="0.25">
      <c r="C4" s="1"/>
      <c r="F4" s="20"/>
      <c r="G4" s="21"/>
      <c r="H4" s="12"/>
      <c r="I4" s="12"/>
      <c r="J4" s="22"/>
    </row>
    <row r="5" spans="3:10" ht="33.75" x14ac:dyDescent="0.5">
      <c r="F5" s="20"/>
      <c r="G5" s="19" t="s">
        <v>21</v>
      </c>
      <c r="H5" s="19"/>
      <c r="I5" s="19"/>
      <c r="J5" s="22"/>
    </row>
    <row r="6" spans="3:10" x14ac:dyDescent="0.25">
      <c r="F6" s="20"/>
      <c r="G6" s="21"/>
      <c r="H6" s="12"/>
      <c r="I6" s="12"/>
      <c r="J6" s="22"/>
    </row>
    <row r="7" spans="3:10" x14ac:dyDescent="0.25">
      <c r="F7" s="20"/>
      <c r="G7" s="21"/>
      <c r="H7" s="12"/>
      <c r="I7" s="12"/>
      <c r="J7" s="22"/>
    </row>
    <row r="8" spans="3:10" x14ac:dyDescent="0.25">
      <c r="F8" s="20"/>
      <c r="G8" s="21" t="s">
        <v>23</v>
      </c>
      <c r="H8" s="15"/>
      <c r="I8" s="12"/>
      <c r="J8" s="22"/>
    </row>
    <row r="9" spans="3:10" x14ac:dyDescent="0.25">
      <c r="F9" s="20"/>
      <c r="G9" s="21"/>
      <c r="H9" s="12"/>
      <c r="I9" s="12"/>
      <c r="J9" s="22"/>
    </row>
    <row r="10" spans="3:10" x14ac:dyDescent="0.25">
      <c r="F10" s="20"/>
      <c r="G10" s="21" t="s">
        <v>22</v>
      </c>
      <c r="H10" s="15"/>
      <c r="I10" s="12"/>
      <c r="J10" s="22"/>
    </row>
    <row r="11" spans="3:10" x14ac:dyDescent="0.25">
      <c r="F11" s="20"/>
      <c r="G11" s="21"/>
      <c r="H11" s="12"/>
      <c r="I11" s="12"/>
      <c r="J11" s="22"/>
    </row>
    <row r="12" spans="3:10" x14ac:dyDescent="0.25">
      <c r="F12" s="20"/>
      <c r="G12" s="21" t="s">
        <v>24</v>
      </c>
      <c r="H12" s="23"/>
      <c r="I12" s="12"/>
      <c r="J12" s="22"/>
    </row>
    <row r="13" spans="3:10" x14ac:dyDescent="0.25">
      <c r="F13" s="20"/>
      <c r="G13" s="21"/>
      <c r="H13" s="12"/>
      <c r="I13" s="12"/>
      <c r="J13" s="22"/>
    </row>
    <row r="14" spans="3:10" x14ac:dyDescent="0.25">
      <c r="F14" s="20"/>
      <c r="G14" s="21" t="s">
        <v>25</v>
      </c>
      <c r="H14" s="24"/>
      <c r="I14" s="12"/>
      <c r="J14" s="22"/>
    </row>
    <row r="15" spans="3:10" x14ac:dyDescent="0.25">
      <c r="F15" s="20"/>
      <c r="G15" s="21"/>
      <c r="H15" s="12"/>
      <c r="I15" s="12"/>
      <c r="J15" s="22"/>
    </row>
    <row r="16" spans="3:10" x14ac:dyDescent="0.25">
      <c r="F16" s="20"/>
      <c r="G16" s="21" t="s">
        <v>26</v>
      </c>
      <c r="H16" s="15"/>
      <c r="I16" s="12"/>
      <c r="J16" s="22"/>
    </row>
    <row r="17" spans="6:15" x14ac:dyDescent="0.25">
      <c r="F17" s="20"/>
      <c r="G17" s="21"/>
      <c r="H17" s="12"/>
      <c r="I17" s="12"/>
      <c r="J17" s="22"/>
    </row>
    <row r="18" spans="6:15" x14ac:dyDescent="0.25">
      <c r="F18" s="20"/>
      <c r="G18" s="21" t="s">
        <v>43</v>
      </c>
      <c r="H18" s="15"/>
      <c r="I18" s="12"/>
      <c r="J18" s="22"/>
    </row>
    <row r="19" spans="6:15" ht="15.75" thickBot="1" x14ac:dyDescent="0.3">
      <c r="F19" s="25"/>
      <c r="G19" s="26"/>
      <c r="H19" s="13"/>
      <c r="I19" s="13"/>
      <c r="J19" s="14"/>
    </row>
    <row r="20" spans="6:15" x14ac:dyDescent="0.25">
      <c r="O20" s="1" t="s">
        <v>2</v>
      </c>
    </row>
    <row r="21" spans="6:15" x14ac:dyDescent="0.25">
      <c r="O21" s="1" t="s">
        <v>20</v>
      </c>
    </row>
  </sheetData>
  <mergeCells count="1">
    <mergeCell ref="G5:I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DataSheet">
                <anchor moveWithCells="1" sizeWithCells="1">
                  <from>
                    <xdr:col>8</xdr:col>
                    <xdr:colOff>152400</xdr:colOff>
                    <xdr:row>17</xdr:row>
                    <xdr:rowOff>9525</xdr:rowOff>
                  </from>
                  <to>
                    <xdr:col>8</xdr:col>
                    <xdr:colOff>1152525</xdr:colOff>
                    <xdr:row>18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3985A-2E18-40B1-9053-82A5D565A29E}">
  <sheetPr codeName="Sheet4"/>
  <dimension ref="A1:F7"/>
  <sheetViews>
    <sheetView tabSelected="1" workbookViewId="0">
      <selection activeCell="G5" sqref="G5"/>
    </sheetView>
  </sheetViews>
  <sheetFormatPr defaultRowHeight="15" x14ac:dyDescent="0.25"/>
  <cols>
    <col min="1" max="1" width="18.5703125" style="2" customWidth="1"/>
    <col min="2" max="2" width="29" style="2" customWidth="1"/>
    <col min="3" max="3" width="24.28515625" style="2" customWidth="1"/>
    <col min="4" max="4" width="24.7109375" style="2" customWidth="1"/>
    <col min="5" max="5" width="26.140625" style="2" customWidth="1"/>
    <col min="6" max="6" width="17" style="2" customWidth="1"/>
  </cols>
  <sheetData>
    <row r="1" spans="1:6" x14ac:dyDescent="0.25">
      <c r="A1" s="2" t="s">
        <v>23</v>
      </c>
      <c r="B1" s="2" t="s">
        <v>22</v>
      </c>
      <c r="C1" s="2" t="s">
        <v>24</v>
      </c>
      <c r="D1" s="2" t="s">
        <v>25</v>
      </c>
      <c r="E1" s="2" t="s">
        <v>26</v>
      </c>
      <c r="F1" s="31" t="s">
        <v>43</v>
      </c>
    </row>
    <row r="2" spans="1:6" x14ac:dyDescent="0.25">
      <c r="A2" s="2" t="s">
        <v>32</v>
      </c>
      <c r="B2" s="2" t="s">
        <v>27</v>
      </c>
      <c r="C2" s="17">
        <f>DATE(2016,2,25)</f>
        <v>42425</v>
      </c>
      <c r="D2" s="16" t="s">
        <v>29</v>
      </c>
      <c r="E2" s="2" t="s">
        <v>33</v>
      </c>
    </row>
    <row r="3" spans="1:6" x14ac:dyDescent="0.25">
      <c r="A3" s="2" t="s">
        <v>34</v>
      </c>
      <c r="B3" s="2" t="s">
        <v>28</v>
      </c>
      <c r="C3" s="17">
        <f>DATE(2019,5,23)</f>
        <v>43608</v>
      </c>
      <c r="D3" s="16" t="s">
        <v>30</v>
      </c>
      <c r="E3" s="2" t="s">
        <v>31</v>
      </c>
    </row>
    <row r="4" spans="1:6" x14ac:dyDescent="0.25">
      <c r="A4" s="2" t="s">
        <v>35</v>
      </c>
      <c r="B4" s="2" t="s">
        <v>36</v>
      </c>
      <c r="C4" s="17">
        <f>DATE(2012,5,23)</f>
        <v>41052</v>
      </c>
      <c r="D4" s="16" t="s">
        <v>37</v>
      </c>
      <c r="E4" s="2" t="s">
        <v>31</v>
      </c>
    </row>
    <row r="5" spans="1:6" x14ac:dyDescent="0.25">
      <c r="A5" s="2" t="s">
        <v>38</v>
      </c>
      <c r="B5" s="2" t="s">
        <v>39</v>
      </c>
      <c r="C5" s="17">
        <f>DATE(2021,5,23)</f>
        <v>44339</v>
      </c>
      <c r="D5" s="16" t="s">
        <v>40</v>
      </c>
      <c r="E5" s="2" t="s">
        <v>42</v>
      </c>
      <c r="F5" s="2" t="s">
        <v>47</v>
      </c>
    </row>
    <row r="6" spans="1:6" x14ac:dyDescent="0.25">
      <c r="A6" s="15" t="s">
        <v>44</v>
      </c>
      <c r="B6" s="15" t="s">
        <v>45</v>
      </c>
      <c r="C6" s="23">
        <f>DATE(2021,12,7)</f>
        <v>44537</v>
      </c>
      <c r="D6" s="24" t="s">
        <v>46</v>
      </c>
      <c r="E6" s="15" t="s">
        <v>41</v>
      </c>
      <c r="F6" s="15" t="s">
        <v>47</v>
      </c>
    </row>
    <row r="7" spans="1:6" x14ac:dyDescent="0.25">
      <c r="A7" s="15" t="s">
        <v>48</v>
      </c>
      <c r="B7" s="15" t="s">
        <v>49</v>
      </c>
      <c r="C7" s="23">
        <f>DATE(2021,5,23)</f>
        <v>44339</v>
      </c>
      <c r="D7" s="24" t="s">
        <v>50</v>
      </c>
      <c r="E7" s="15" t="s">
        <v>51</v>
      </c>
      <c r="F7" s="15" t="s">
        <v>52</v>
      </c>
    </row>
  </sheetData>
  <phoneticPr fontId="7" type="noConversion"/>
  <hyperlinks>
    <hyperlink ref="D2" r:id="rId1" xr:uid="{5D1A555E-107A-4876-B565-FBA78FA9387B}"/>
    <hyperlink ref="D3" r:id="rId2" xr:uid="{BE195103-3AE2-489E-9310-FD6ADCC4F9A3}"/>
    <hyperlink ref="D4" r:id="rId3" xr:uid="{860B4E1E-7BB6-4D34-BE44-5131333C431D}"/>
    <hyperlink ref="D6" r:id="rId4" xr:uid="{B9C3FB04-C5EF-4900-AE6D-3B17D470BA41}"/>
    <hyperlink ref="D7" r:id="rId5" xr:uid="{27C8249B-2A73-44DA-95E5-E88A9F4CFB24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</vt:lpstr>
      <vt:lpstr>Formatting</vt:lpstr>
      <vt:lpstr>2</vt:lpstr>
      <vt:lpstr>Employee Data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Windows User</cp:lastModifiedBy>
  <dcterms:created xsi:type="dcterms:W3CDTF">2015-06-05T18:17:20Z</dcterms:created>
  <dcterms:modified xsi:type="dcterms:W3CDTF">2023-07-28T15:49:12Z</dcterms:modified>
</cp:coreProperties>
</file>